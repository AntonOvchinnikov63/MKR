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79991\Desktop\"/>
    </mc:Choice>
  </mc:AlternateContent>
  <bookViews>
    <workbookView xWindow="0" yWindow="0" windowWidth="14370" windowHeight="1230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1" l="1"/>
  <c r="G4" i="1"/>
  <c r="J13" i="1"/>
  <c r="P13" i="1"/>
  <c r="H13" i="1"/>
  <c r="N13" i="1"/>
  <c r="O13" i="1"/>
  <c r="Q13" i="1"/>
  <c r="H4" i="1"/>
  <c r="G13" i="1" s="1"/>
  <c r="Q4" i="1"/>
  <c r="H3" i="1"/>
  <c r="I3" i="1" s="1"/>
  <c r="J3" i="1" s="1"/>
  <c r="K3" i="1" s="1"/>
  <c r="L3" i="1" s="1"/>
  <c r="M3" i="1" s="1"/>
  <c r="N3" i="1" s="1"/>
  <c r="O3" i="1" s="1"/>
  <c r="P3" i="1" s="1"/>
  <c r="P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P10" i="1" l="1"/>
  <c r="H10" i="1"/>
  <c r="G10" i="1"/>
  <c r="Q17" i="1"/>
  <c r="Q18" i="1" s="1"/>
  <c r="Q19" i="1" s="1"/>
  <c r="O17" i="1"/>
  <c r="O18" i="1" s="1"/>
  <c r="O19" i="1" s="1"/>
  <c r="N17" i="1"/>
  <c r="N18" i="1" s="1"/>
  <c r="N19" i="1" s="1"/>
  <c r="Q10" i="1"/>
  <c r="I4" i="1"/>
  <c r="G14" i="1"/>
  <c r="J17" i="1"/>
  <c r="J18" i="1" s="1"/>
  <c r="J19" i="1" s="1"/>
  <c r="M13" i="1"/>
  <c r="P17" i="1"/>
  <c r="P18" i="1" s="1"/>
  <c r="P19" i="1" s="1"/>
  <c r="H17" i="1"/>
  <c r="H18" i="1" s="1"/>
  <c r="H19" i="1" s="1"/>
  <c r="N4" i="1"/>
  <c r="N10" i="1" s="1"/>
  <c r="L13" i="1"/>
  <c r="G17" i="1"/>
  <c r="G18" i="1" s="1"/>
  <c r="G19" i="1" s="1"/>
  <c r="O4" i="1"/>
  <c r="O10" i="1" s="1"/>
  <c r="M4" i="1"/>
  <c r="K13" i="1"/>
  <c r="J4" i="1"/>
  <c r="J10" i="1" s="1"/>
  <c r="L4" i="1"/>
  <c r="K4" i="1"/>
  <c r="I13" i="1"/>
  <c r="O11" i="1" l="1"/>
  <c r="O14" i="1" s="1"/>
  <c r="G11" i="1"/>
  <c r="P11" i="1"/>
  <c r="P14" i="1" s="1"/>
  <c r="L10" i="1"/>
  <c r="I10" i="1"/>
  <c r="H11" i="1" s="1"/>
  <c r="H14" i="1" s="1"/>
  <c r="M10" i="1"/>
  <c r="M11" i="1" s="1"/>
  <c r="M14" i="1" s="1"/>
  <c r="N11" i="1"/>
  <c r="N14" i="1" s="1"/>
  <c r="K17" i="1"/>
  <c r="K18" i="1" s="1"/>
  <c r="K19" i="1" s="1"/>
  <c r="M17" i="1"/>
  <c r="M18" i="1" s="1"/>
  <c r="M19" i="1" s="1"/>
  <c r="I17" i="1"/>
  <c r="I18" i="1" s="1"/>
  <c r="I19" i="1" s="1"/>
  <c r="K10" i="1"/>
  <c r="L17" i="1"/>
  <c r="L18" i="1" s="1"/>
  <c r="L19" i="1" s="1"/>
  <c r="K11" i="1" l="1"/>
  <c r="K14" i="1" s="1"/>
  <c r="J11" i="1"/>
  <c r="J14" i="1" s="1"/>
  <c r="L11" i="1"/>
  <c r="L14" i="1" s="1"/>
  <c r="I11" i="1"/>
  <c r="I14" i="1" s="1"/>
</calcChain>
</file>

<file path=xl/sharedStrings.xml><?xml version="1.0" encoding="utf-8"?>
<sst xmlns="http://schemas.openxmlformats.org/spreadsheetml/2006/main" count="24" uniqueCount="19">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</sst>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0"/>
    <numFmt numFmtId="165" formatCode="0.0000"/>
    <numFmt numFmtId="166" formatCode="0.000"/>
    <numFmt numFmtId="167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0" xfId="0" applyFill="1" applyBorder="1"/>
    <xf numFmtId="0" fontId="0" fillId="0" borderId="0" xfId="0" applyBorder="1"/>
    <xf numFmtId="164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/>
    <xf numFmtId="2" fontId="0" fillId="0" borderId="1" xfId="0" applyNumberFormat="1" applyBorder="1"/>
    <xf numFmtId="167" fontId="0" fillId="0" borderId="1" xfId="0" applyNumberFormat="1" applyBorder="1"/>
    <xf numFmtId="1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48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332461252146826E-2"/>
          <c:y val="0.17171296296296296"/>
          <c:w val="0.8050236787522608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Лист1!$F$3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F-429D-84D6-B608F7BCF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3884016"/>
        <c:axId val="1133883472"/>
      </c:lineChart>
      <c:catAx>
        <c:axId val="113388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883472"/>
        <c:crosses val="autoZero"/>
        <c:auto val="1"/>
        <c:lblAlgn val="ctr"/>
        <c:lblOffset val="100"/>
        <c:noMultiLvlLbl val="0"/>
      </c:catAx>
      <c:valAx>
        <c:axId val="11338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88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5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150481189851271E-2"/>
          <c:y val="0.17171296296296296"/>
          <c:w val="0.7185161854768153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Лист1!$F$10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Лист1!$G$10:$Q$10</c:f>
              <c:numCache>
                <c:formatCode>0.000</c:formatCode>
                <c:ptCount val="11"/>
                <c:pt idx="0">
                  <c:v>1.3682813061830692</c:v>
                </c:pt>
                <c:pt idx="1">
                  <c:v>1.3682812930146351</c:v>
                </c:pt>
                <c:pt idx="2">
                  <c:v>1.3682805599902417</c:v>
                </c:pt>
                <c:pt idx="3">
                  <c:v>1.3682797254371233</c:v>
                </c:pt>
                <c:pt idx="4">
                  <c:v>1.3682788615292099</c:v>
                </c:pt>
                <c:pt idx="5">
                  <c:v>1.368278043116046</c:v>
                </c:pt>
                <c:pt idx="6">
                  <c:v>1.3682773403715991</c:v>
                </c:pt>
                <c:pt idx="7">
                  <c:v>1.3682768081169407</c:v>
                </c:pt>
                <c:pt idx="8">
                  <c:v>1.3682764725631917</c:v>
                </c:pt>
                <c:pt idx="9">
                  <c:v>1.3682763187334843</c:v>
                </c:pt>
                <c:pt idx="10">
                  <c:v>1.3682762862335076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5E-42C0-89DD-4F0DA11FE983}"/>
            </c:ext>
          </c:extLst>
        </c:ser>
        <c:ser>
          <c:idx val="0"/>
          <c:order val="1"/>
          <c:tx>
            <c:strRef>
              <c:f>Лист1!$F$10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Лист1!$G$10:$Q$10</c:f>
              <c:numCache>
                <c:formatCode>0.000</c:formatCode>
                <c:ptCount val="11"/>
                <c:pt idx="0">
                  <c:v>1.3682813061830692</c:v>
                </c:pt>
                <c:pt idx="1">
                  <c:v>1.3682812930146351</c:v>
                </c:pt>
                <c:pt idx="2">
                  <c:v>1.3682805599902417</c:v>
                </c:pt>
                <c:pt idx="3">
                  <c:v>1.3682797254371233</c:v>
                </c:pt>
                <c:pt idx="4">
                  <c:v>1.3682788615292099</c:v>
                </c:pt>
                <c:pt idx="5">
                  <c:v>1.368278043116046</c:v>
                </c:pt>
                <c:pt idx="6">
                  <c:v>1.3682773403715991</c:v>
                </c:pt>
                <c:pt idx="7">
                  <c:v>1.3682768081169407</c:v>
                </c:pt>
                <c:pt idx="8">
                  <c:v>1.3682764725631917</c:v>
                </c:pt>
                <c:pt idx="9">
                  <c:v>1.3682763187334843</c:v>
                </c:pt>
                <c:pt idx="10">
                  <c:v>1.3682762862335076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5E-42C0-89DD-4F0DA11FE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3882384"/>
        <c:axId val="1133890000"/>
      </c:lineChart>
      <c:catAx>
        <c:axId val="11338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890000"/>
        <c:crosses val="autoZero"/>
        <c:auto val="1"/>
        <c:lblAlgn val="ctr"/>
        <c:lblOffset val="100"/>
        <c:noMultiLvlLbl val="0"/>
      </c:catAx>
      <c:valAx>
        <c:axId val="113389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88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3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Лист1!$G$6:$Q$6</c:f>
              <c:numCache>
                <c:formatCode>General</c:formatCode>
                <c:ptCount val="11"/>
                <c:pt idx="0">
                  <c:v>133045.91812666616</c:v>
                </c:pt>
                <c:pt idx="1">
                  <c:v>132578.09378669562</c:v>
                </c:pt>
                <c:pt idx="2">
                  <c:v>131967.58117050573</c:v>
                </c:pt>
                <c:pt idx="3">
                  <c:v>131158.82647224542</c:v>
                </c:pt>
                <c:pt idx="4">
                  <c:v>130069.33168357579</c:v>
                </c:pt>
                <c:pt idx="5">
                  <c:v>128573.62849765351</c:v>
                </c:pt>
                <c:pt idx="6">
                  <c:v>126475.693592638</c:v>
                </c:pt>
                <c:pt idx="7">
                  <c:v>123459.75094141666</c:v>
                </c:pt>
                <c:pt idx="8">
                  <c:v>118998.90366367337</c:v>
                </c:pt>
                <c:pt idx="9">
                  <c:v>112177.34053610377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DB-4197-A596-FA8ED4319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4134304"/>
        <c:axId val="1054134848"/>
      </c:lineChart>
      <c:catAx>
        <c:axId val="105413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4134848"/>
        <c:crosses val="autoZero"/>
        <c:auto val="1"/>
        <c:lblAlgn val="ctr"/>
        <c:lblOffset val="100"/>
        <c:noMultiLvlLbl val="0"/>
      </c:catAx>
      <c:valAx>
        <c:axId val="105413484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4134304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873E-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493775899152129"/>
          <c:y val="0.19486111111111112"/>
          <c:w val="0.74507174103237095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Лист1!$G$13:$Q$13</c:f>
              <c:numCache>
                <c:formatCode>General</c:formatCode>
                <c:ptCount val="11"/>
                <c:pt idx="0">
                  <c:v>57.428463454449002</c:v>
                </c:pt>
                <c:pt idx="1">
                  <c:v>63.632645874519106</c:v>
                </c:pt>
                <c:pt idx="2">
                  <c:v>70.899298933099445</c:v>
                </c:pt>
                <c:pt idx="3">
                  <c:v>79.485670738520582</c:v>
                </c:pt>
                <c:pt idx="4">
                  <c:v>89.731813827022691</c:v>
                </c:pt>
                <c:pt idx="5">
                  <c:v>102.09480266574042</c:v>
                </c:pt>
                <c:pt idx="6">
                  <c:v>117.20060613147547</c:v>
                </c:pt>
                <c:pt idx="7">
                  <c:v>135.92491044978658</c:v>
                </c:pt>
                <c:pt idx="8">
                  <c:v>159.52294605952173</c:v>
                </c:pt>
                <c:pt idx="9">
                  <c:v>189.84546818183216</c:v>
                </c:pt>
                <c:pt idx="10">
                  <c:v>229.71301104375931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E-491B-9636-1D1AE948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596464"/>
        <c:axId val="987591024"/>
      </c:lineChart>
      <c:catAx>
        <c:axId val="98759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7591024"/>
        <c:crosses val="autoZero"/>
        <c:auto val="1"/>
        <c:lblAlgn val="ctr"/>
        <c:lblOffset val="100"/>
        <c:noMultiLvlLbl val="0"/>
      </c:catAx>
      <c:valAx>
        <c:axId val="9875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759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50986</xdr:colOff>
      <xdr:row>36</xdr:row>
      <xdr:rowOff>53508</xdr:rowOff>
    </xdr:from>
    <xdr:to>
      <xdr:col>8</xdr:col>
      <xdr:colOff>284629</xdr:colOff>
      <xdr:row>50</xdr:row>
      <xdr:rowOff>129708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158619</xdr:colOff>
      <xdr:row>36</xdr:row>
      <xdr:rowOff>20264</xdr:rowOff>
    </xdr:from>
    <xdr:to>
      <xdr:col>16</xdr:col>
      <xdr:colOff>263394</xdr:colOff>
      <xdr:row>50</xdr:row>
      <xdr:rowOff>96464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133350</xdr:rowOff>
        </xdr:from>
        <xdr:to>
          <xdr:col>3</xdr:col>
          <xdr:colOff>361950</xdr:colOff>
          <xdr:row>18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X24"/>
  <sheetViews>
    <sheetView tabSelected="1" zoomScale="70" zoomScaleNormal="70" workbookViewId="0">
      <selection activeCell="G5" sqref="G5:Q7"/>
    </sheetView>
  </sheetViews>
  <sheetFormatPr defaultRowHeight="15" x14ac:dyDescent="0.25"/>
  <cols>
    <col min="7" max="7" width="9.7109375" bestFit="1" customWidth="1"/>
    <col min="8" max="17" width="9.5703125" bestFit="1" customWidth="1"/>
  </cols>
  <sheetData>
    <row r="1" spans="2:17" x14ac:dyDescent="0.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25">
      <c r="F2" s="1" t="s">
        <v>10</v>
      </c>
      <c r="G2" s="1">
        <v>0</v>
      </c>
      <c r="H2" s="1">
        <f>G2+$C$4</f>
        <v>0.01</v>
      </c>
      <c r="I2" s="1">
        <f t="shared" ref="I2:Q2" si="0">H2+$C$4</f>
        <v>0.02</v>
      </c>
      <c r="J2" s="1">
        <f t="shared" si="0"/>
        <v>0.03</v>
      </c>
      <c r="K2" s="1">
        <f t="shared" si="0"/>
        <v>0.04</v>
      </c>
      <c r="L2" s="1">
        <f t="shared" si="0"/>
        <v>0.05</v>
      </c>
      <c r="M2" s="1">
        <f t="shared" si="0"/>
        <v>6.0000000000000005E-2</v>
      </c>
      <c r="N2" s="1">
        <f t="shared" si="0"/>
        <v>7.0000000000000007E-2</v>
      </c>
      <c r="O2" s="1">
        <f t="shared" si="0"/>
        <v>0.08</v>
      </c>
      <c r="P2" s="1">
        <f t="shared" si="0"/>
        <v>0.09</v>
      </c>
      <c r="Q2" s="1">
        <f t="shared" si="0"/>
        <v>9.9999999999999992E-2</v>
      </c>
    </row>
    <row r="3" spans="2:17" x14ac:dyDescent="0.25">
      <c r="B3" s="1" t="s">
        <v>0</v>
      </c>
      <c r="C3" s="1">
        <v>0.1</v>
      </c>
      <c r="F3" s="1" t="s">
        <v>3</v>
      </c>
      <c r="G3" s="1">
        <v>0.08</v>
      </c>
      <c r="H3" s="1">
        <f>G3+($Q$3-$G$3)/10</f>
        <v>7.5999999999999998E-2</v>
      </c>
      <c r="I3" s="1">
        <f t="shared" ref="I3:P3" si="1">H3+($Q$3-$G$3)/10</f>
        <v>7.1999999999999995E-2</v>
      </c>
      <c r="J3" s="1">
        <f t="shared" si="1"/>
        <v>6.7999999999999991E-2</v>
      </c>
      <c r="K3" s="1">
        <f t="shared" si="1"/>
        <v>6.3999999999999987E-2</v>
      </c>
      <c r="L3" s="1">
        <f t="shared" si="1"/>
        <v>5.9999999999999984E-2</v>
      </c>
      <c r="M3" s="1">
        <f t="shared" si="1"/>
        <v>5.599999999999998E-2</v>
      </c>
      <c r="N3" s="1">
        <f t="shared" si="1"/>
        <v>5.1999999999999977E-2</v>
      </c>
      <c r="O3" s="1">
        <f t="shared" si="1"/>
        <v>4.7999999999999973E-2</v>
      </c>
      <c r="P3" s="1">
        <f t="shared" si="1"/>
        <v>4.399999999999997E-2</v>
      </c>
      <c r="Q3" s="1">
        <v>0.04</v>
      </c>
    </row>
    <row r="4" spans="2:17" x14ac:dyDescent="0.25">
      <c r="B4" s="1" t="s">
        <v>1</v>
      </c>
      <c r="C4" s="1">
        <f>C3/10</f>
        <v>0.01</v>
      </c>
      <c r="F4" s="1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25">
      <c r="F5" s="1" t="s">
        <v>12</v>
      </c>
      <c r="G5" s="1">
        <v>57.428464006976419</v>
      </c>
      <c r="H5" s="1">
        <v>63.632646486924102</v>
      </c>
      <c r="I5" s="1">
        <v>70.89929962508468</v>
      </c>
      <c r="J5" s="1">
        <v>79.48567145655143</v>
      </c>
      <c r="K5" s="1">
        <v>89.731814514933106</v>
      </c>
      <c r="L5" s="1">
        <v>102.09480327028129</v>
      </c>
      <c r="M5" s="1">
        <v>117.20060661034212</v>
      </c>
      <c r="N5" s="1">
        <v>135.92491078152543</v>
      </c>
      <c r="O5" s="1">
        <v>159.52294625285421</v>
      </c>
      <c r="P5" s="1">
        <v>189.84546827875789</v>
      </c>
      <c r="Q5" s="1">
        <v>229.71301110724175</v>
      </c>
    </row>
    <row r="6" spans="2:17" x14ac:dyDescent="0.25">
      <c r="B6" s="1" t="s">
        <v>2</v>
      </c>
      <c r="C6" s="1">
        <v>1.4</v>
      </c>
      <c r="F6" s="1" t="s">
        <v>7</v>
      </c>
      <c r="G6" s="1">
        <v>133045.91812666616</v>
      </c>
      <c r="H6" s="1">
        <v>132578.09378669562</v>
      </c>
      <c r="I6" s="1">
        <v>131967.58117050573</v>
      </c>
      <c r="J6" s="1">
        <v>131158.82647224542</v>
      </c>
      <c r="K6" s="1">
        <v>130069.33168357579</v>
      </c>
      <c r="L6" s="1">
        <v>128573.62849765351</v>
      </c>
      <c r="M6" s="1">
        <v>126475.693592638</v>
      </c>
      <c r="N6" s="1">
        <v>123459.75094141666</v>
      </c>
      <c r="O6" s="1">
        <v>118998.90366367337</v>
      </c>
      <c r="P6" s="1">
        <v>112177.34053610377</v>
      </c>
      <c r="Q6" s="1">
        <v>101325</v>
      </c>
    </row>
    <row r="7" spans="2:17" x14ac:dyDescent="0.25">
      <c r="B7" s="1" t="s">
        <v>3</v>
      </c>
      <c r="C7" s="1">
        <v>286.97199999999998</v>
      </c>
      <c r="F7" s="1" t="s">
        <v>13</v>
      </c>
      <c r="G7" s="1">
        <v>1.1850000000000001</v>
      </c>
      <c r="H7" s="1">
        <v>1.1850000000000001</v>
      </c>
      <c r="I7" s="1">
        <v>1.1850000000000001</v>
      </c>
      <c r="J7" s="1">
        <v>1.1850000000000001</v>
      </c>
      <c r="K7" s="1">
        <v>1.1850000000000001</v>
      </c>
      <c r="L7" s="1">
        <v>1.1850000000000001</v>
      </c>
      <c r="M7" s="1">
        <v>1.1850000000000001</v>
      </c>
      <c r="N7" s="1">
        <v>1.1850000000000001</v>
      </c>
      <c r="O7" s="1">
        <v>1.1850000000000001</v>
      </c>
      <c r="P7" s="1">
        <v>1.1850000000000001</v>
      </c>
      <c r="Q7" s="1">
        <v>1.1850000000000001</v>
      </c>
    </row>
    <row r="8" spans="2:17" x14ac:dyDescent="0.25">
      <c r="B8" s="1" t="s">
        <v>4</v>
      </c>
      <c r="C8" s="1">
        <v>1004.4</v>
      </c>
    </row>
    <row r="10" spans="2:17" x14ac:dyDescent="0.25">
      <c r="B10" s="1" t="s">
        <v>5</v>
      </c>
      <c r="C10" s="1">
        <v>135000</v>
      </c>
      <c r="F10" s="1" t="s">
        <v>14</v>
      </c>
      <c r="G10" s="6">
        <f>G4*G7*G13</f>
        <v>1.3682813061830692</v>
      </c>
      <c r="H10" s="6">
        <f>H4*H7*H13</f>
        <v>1.3682812930146351</v>
      </c>
      <c r="I10" s="6">
        <f t="shared" ref="I10:Q10" si="3">I4*I7*I13</f>
        <v>1.3682805599902417</v>
      </c>
      <c r="J10" s="6">
        <f t="shared" si="3"/>
        <v>1.3682797254371233</v>
      </c>
      <c r="K10" s="6">
        <f t="shared" si="3"/>
        <v>1.3682788615292099</v>
      </c>
      <c r="L10" s="6">
        <f t="shared" si="3"/>
        <v>1.368278043116046</v>
      </c>
      <c r="M10" s="6">
        <f t="shared" si="3"/>
        <v>1.3682773403715991</v>
      </c>
      <c r="N10" s="6">
        <f t="shared" si="3"/>
        <v>1.3682768081169407</v>
      </c>
      <c r="O10" s="6">
        <f t="shared" si="3"/>
        <v>1.3682764725631917</v>
      </c>
      <c r="P10" s="6">
        <f t="shared" si="3"/>
        <v>1.3682763187334843</v>
      </c>
      <c r="Q10" s="6">
        <f t="shared" si="3"/>
        <v>1.3682762862335076</v>
      </c>
    </row>
    <row r="11" spans="2:17" x14ac:dyDescent="0.25">
      <c r="B11" s="1" t="s">
        <v>6</v>
      </c>
      <c r="C11" s="1">
        <v>288.16000000000003</v>
      </c>
      <c r="F11" s="1" t="s">
        <v>15</v>
      </c>
      <c r="G11" s="4">
        <f>(G13)*(G10-H10)</f>
        <v>7.5624293766521337E-7</v>
      </c>
      <c r="H11" s="4">
        <f t="shared" ref="H11:P11" si="4">(H13)*(H10-I10)</f>
        <v>4.664428164303416E-5</v>
      </c>
      <c r="I11" s="4">
        <f t="shared" si="4"/>
        <v>5.916923101625005E-5</v>
      </c>
      <c r="J11" s="4">
        <f t="shared" si="4"/>
        <v>6.8668299955197467E-5</v>
      </c>
      <c r="K11" s="4">
        <f t="shared" si="4"/>
        <v>7.3437697657154563E-5</v>
      </c>
      <c r="L11" s="4">
        <f t="shared" si="4"/>
        <v>7.174655562626791E-5</v>
      </c>
      <c r="M11" s="4">
        <f t="shared" si="4"/>
        <v>6.2380568574628089E-5</v>
      </c>
      <c r="N11" s="4">
        <f t="shared" si="4"/>
        <v>4.5610113285147382E-5</v>
      </c>
      <c r="O11" s="4">
        <f t="shared" si="4"/>
        <v>2.4539368118573401E-5</v>
      </c>
      <c r="P11" s="4">
        <f t="shared" si="4"/>
        <v>6.169973294378839E-6</v>
      </c>
      <c r="Q11" s="4">
        <v>0</v>
      </c>
    </row>
    <row r="12" spans="2:17" x14ac:dyDescent="0.25">
      <c r="B12" s="1" t="s">
        <v>7</v>
      </c>
      <c r="C12" s="1">
        <v>101325</v>
      </c>
    </row>
    <row r="13" spans="2:17" x14ac:dyDescent="0.25">
      <c r="F13" s="1" t="s">
        <v>12</v>
      </c>
      <c r="G13" s="1">
        <f>(H4*H5*H7)/(G4*G7)</f>
        <v>57.428463454449002</v>
      </c>
      <c r="H13" s="1">
        <f>((G6-H6)/H7+G5*H5)^0.5</f>
        <v>63.632645874519106</v>
      </c>
      <c r="I13" s="1">
        <f t="shared" ref="I13:Q13" si="5">((H6-I6)/I7+H5*I5)^0.5</f>
        <v>70.899298933099445</v>
      </c>
      <c r="J13" s="1">
        <f t="shared" si="5"/>
        <v>79.485670738520582</v>
      </c>
      <c r="K13" s="1">
        <f t="shared" si="5"/>
        <v>89.731813827022691</v>
      </c>
      <c r="L13" s="1">
        <f t="shared" si="5"/>
        <v>102.09480266574042</v>
      </c>
      <c r="M13" s="1">
        <f t="shared" si="5"/>
        <v>117.20060613147547</v>
      </c>
      <c r="N13" s="1">
        <f t="shared" si="5"/>
        <v>135.92491044978658</v>
      </c>
      <c r="O13" s="1">
        <f t="shared" si="5"/>
        <v>159.52294605952173</v>
      </c>
      <c r="P13" s="1">
        <f t="shared" si="5"/>
        <v>189.84546818183216</v>
      </c>
      <c r="Q13" s="1">
        <f t="shared" si="5"/>
        <v>229.71301104375931</v>
      </c>
    </row>
    <row r="14" spans="2:17" x14ac:dyDescent="0.25">
      <c r="B14" s="1" t="s">
        <v>8</v>
      </c>
      <c r="C14" s="1">
        <v>1500</v>
      </c>
      <c r="D14">
        <v>1500</v>
      </c>
      <c r="F14" s="1" t="s">
        <v>7</v>
      </c>
      <c r="G14" s="9">
        <f>C10-(G7*G13^2)/2</f>
        <v>133045.91816426715</v>
      </c>
      <c r="H14" s="9">
        <f>H6+H11</f>
        <v>132578.0938333399</v>
      </c>
      <c r="I14" s="9">
        <f t="shared" ref="I14:Q14" si="6">I6+I11</f>
        <v>131967.58122967495</v>
      </c>
      <c r="J14" s="9">
        <f t="shared" si="6"/>
        <v>131158.82654091372</v>
      </c>
      <c r="K14" s="9">
        <f t="shared" si="6"/>
        <v>130069.33175701348</v>
      </c>
      <c r="L14" s="9">
        <f t="shared" si="6"/>
        <v>128573.62856940007</v>
      </c>
      <c r="M14" s="9">
        <f t="shared" si="6"/>
        <v>126475.69365501856</v>
      </c>
      <c r="N14" s="9">
        <f t="shared" si="6"/>
        <v>123459.75098702677</v>
      </c>
      <c r="O14" s="9">
        <f t="shared" si="6"/>
        <v>118998.90368821274</v>
      </c>
      <c r="P14" s="9">
        <f t="shared" si="6"/>
        <v>112177.34054227374</v>
      </c>
      <c r="Q14" s="9">
        <f t="shared" si="6"/>
        <v>101325</v>
      </c>
    </row>
    <row r="15" spans="2:17" x14ac:dyDescent="0.25">
      <c r="F15" s="1" t="s">
        <v>13</v>
      </c>
      <c r="G15" s="1">
        <v>1.1850000000000001</v>
      </c>
      <c r="H15" s="1">
        <v>1.1850000000000001</v>
      </c>
      <c r="I15" s="1">
        <v>1.1850000000000001</v>
      </c>
      <c r="J15" s="1">
        <v>1.1850000000000001</v>
      </c>
      <c r="K15" s="1">
        <v>1.1850000000000001</v>
      </c>
      <c r="L15" s="1">
        <v>1.1850000000000001</v>
      </c>
      <c r="M15" s="1">
        <v>1.1850000000000001</v>
      </c>
      <c r="N15" s="1">
        <v>1.1850000000000001</v>
      </c>
      <c r="O15" s="1">
        <v>1.1850000000000001</v>
      </c>
      <c r="P15" s="1">
        <v>1.1850000000000001</v>
      </c>
      <c r="Q15" s="1">
        <v>1.1850000000000001</v>
      </c>
    </row>
    <row r="17" spans="6:24" x14ac:dyDescent="0.25">
      <c r="F17" s="1" t="s">
        <v>16</v>
      </c>
      <c r="G17" s="7">
        <f>$C$11-(G13^2)/(2*$C$8)</f>
        <v>286.51820967008217</v>
      </c>
      <c r="H17" s="7">
        <f t="shared" ref="H17:Q17" si="7">$C$11-(H13^2)/(2*$C$8)</f>
        <v>286.14431221575472</v>
      </c>
      <c r="I17" s="7">
        <f t="shared" si="7"/>
        <v>285.65765502329504</v>
      </c>
      <c r="J17" s="7">
        <f t="shared" si="7"/>
        <v>285.01485272164854</v>
      </c>
      <c r="K17" s="7">
        <f t="shared" si="7"/>
        <v>284.15173715019546</v>
      </c>
      <c r="L17" s="7">
        <f t="shared" si="7"/>
        <v>282.97115654552147</v>
      </c>
      <c r="M17" s="7">
        <f t="shared" si="7"/>
        <v>281.32209573995164</v>
      </c>
      <c r="N17" s="7">
        <f t="shared" si="7"/>
        <v>278.96267757826439</v>
      </c>
      <c r="O17" s="7">
        <f t="shared" si="7"/>
        <v>275.4919542415825</v>
      </c>
      <c r="P17" s="7">
        <f t="shared" si="7"/>
        <v>270.21829261789179</v>
      </c>
      <c r="Q17" s="7">
        <f t="shared" si="7"/>
        <v>261.89154746973804</v>
      </c>
    </row>
    <row r="18" spans="6:24" x14ac:dyDescent="0.25">
      <c r="F18" s="1" t="s">
        <v>17</v>
      </c>
      <c r="G18" s="8">
        <f>SQRT($C$6*$C$7*G17)</f>
        <v>339.28127730781131</v>
      </c>
      <c r="H18" s="8">
        <f t="shared" ref="H18:Q18" si="8">SQRT($C$6*$C$7*H17)</f>
        <v>339.05982922081967</v>
      </c>
      <c r="I18" s="8">
        <f t="shared" si="8"/>
        <v>338.77138014933172</v>
      </c>
      <c r="J18" s="8">
        <f t="shared" si="8"/>
        <v>338.39000464158465</v>
      </c>
      <c r="K18" s="8">
        <f t="shared" si="8"/>
        <v>337.87723989468753</v>
      </c>
      <c r="L18" s="8">
        <f t="shared" si="8"/>
        <v>337.17461089271524</v>
      </c>
      <c r="M18" s="8">
        <f t="shared" si="8"/>
        <v>336.19070516919345</v>
      </c>
      <c r="N18" s="8">
        <f t="shared" si="8"/>
        <v>334.77793910887493</v>
      </c>
      <c r="O18" s="8">
        <f t="shared" si="8"/>
        <v>332.68884551433575</v>
      </c>
      <c r="P18" s="8">
        <f t="shared" si="8"/>
        <v>329.48917647898281</v>
      </c>
      <c r="Q18" s="8">
        <f t="shared" si="8"/>
        <v>324.37286820059398</v>
      </c>
    </row>
    <row r="19" spans="6:24" x14ac:dyDescent="0.25">
      <c r="F19" s="1" t="s">
        <v>18</v>
      </c>
      <c r="G19" s="5">
        <f>G13/G18</f>
        <v>0.16926505320347313</v>
      </c>
      <c r="H19" s="5">
        <f t="shared" ref="H19:Q19" si="9">H13/H18</f>
        <v>0.18767379792749508</v>
      </c>
      <c r="I19" s="5">
        <f t="shared" si="9"/>
        <v>0.20928361451857816</v>
      </c>
      <c r="J19" s="5">
        <f t="shared" si="9"/>
        <v>0.2348936719413745</v>
      </c>
      <c r="K19" s="5">
        <f t="shared" si="9"/>
        <v>0.26557519486956588</v>
      </c>
      <c r="L19" s="5">
        <f t="shared" si="9"/>
        <v>0.30279504852227951</v>
      </c>
      <c r="M19" s="5">
        <f t="shared" si="9"/>
        <v>0.34861346351765543</v>
      </c>
      <c r="N19" s="5">
        <f t="shared" si="9"/>
        <v>0.40601513591844446</v>
      </c>
      <c r="O19" s="5">
        <f t="shared" si="9"/>
        <v>0.47949592602931979</v>
      </c>
      <c r="P19" s="5">
        <f t="shared" si="9"/>
        <v>0.57618119724166983</v>
      </c>
      <c r="Q19" s="5">
        <f t="shared" si="9"/>
        <v>0.7081757864585132</v>
      </c>
    </row>
    <row r="20" spans="6:24" x14ac:dyDescent="0.25">
      <c r="F20" s="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6:24" x14ac:dyDescent="0.25">
      <c r="F21" s="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</row>
    <row r="22" spans="6:24" x14ac:dyDescent="0.25">
      <c r="F22" s="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</row>
    <row r="23" spans="6:24" x14ac:dyDescent="0.25">
      <c r="F23" s="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</row>
    <row r="24" spans="6:24" x14ac:dyDescent="0.25">
      <c r="S24" s="3"/>
      <c r="T24" s="3"/>
      <c r="U24" s="3"/>
      <c r="V24" s="3"/>
      <c r="W24" s="3"/>
      <c r="X24" s="3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Овчинников</dc:creator>
  <dcterms:created xsi:type="dcterms:W3CDTF">2021-05-20T20:27:31Z</dcterms:created>
  <dcterms:modified xsi:type="dcterms:W3CDTF">2021-05-23T10:40:30Z</dcterms:modified>
</cp:coreProperties>
</file>